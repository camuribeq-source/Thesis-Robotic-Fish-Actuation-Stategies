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auribequintero/Desktop/"/>
    </mc:Choice>
  </mc:AlternateContent>
  <xr:revisionPtr revIDLastSave="0" documentId="13_ncr:1_{10909540-A8FE-4846-A4DA-97F7254AE163}" xr6:coauthVersionLast="47" xr6:coauthVersionMax="47" xr10:uidLastSave="{00000000-0000-0000-0000-000000000000}"/>
  <bookViews>
    <workbookView xWindow="0" yWindow="660" windowWidth="30240" windowHeight="18980" xr2:uid="{9297543E-BDBD-CB4A-ACC7-8352632E2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I37" i="1"/>
  <c r="H35" i="1"/>
  <c r="H34" i="1"/>
  <c r="H37" i="1"/>
  <c r="H36" i="1"/>
  <c r="H30" i="1"/>
  <c r="H33" i="1" s="1"/>
  <c r="H29" i="1"/>
  <c r="F28" i="1"/>
  <c r="H28" i="1"/>
  <c r="I28" i="1"/>
  <c r="G28" i="1"/>
  <c r="F37" i="1"/>
  <c r="E38" i="1"/>
  <c r="F39" i="1" s="1"/>
  <c r="F38" i="1"/>
  <c r="I30" i="1"/>
  <c r="G30" i="1"/>
  <c r="F30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" i="1"/>
  <c r="H32" i="1"/>
  <c r="E17" i="1"/>
  <c r="H26" i="1"/>
  <c r="H23" i="1"/>
  <c r="H22" i="1"/>
  <c r="H24" i="1" s="1"/>
</calcChain>
</file>

<file path=xl/sharedStrings.xml><?xml version="1.0" encoding="utf-8"?>
<sst xmlns="http://schemas.openxmlformats.org/spreadsheetml/2006/main" count="119" uniqueCount="57">
  <si>
    <t xml:space="preserve">Name </t>
  </si>
  <si>
    <t>Motor 1</t>
  </si>
  <si>
    <t>Motor 2</t>
  </si>
  <si>
    <t>mixto</t>
  </si>
  <si>
    <t>Kind</t>
  </si>
  <si>
    <t>Material</t>
  </si>
  <si>
    <t>solid</t>
  </si>
  <si>
    <t>sealed_air_volume</t>
  </si>
  <si>
    <t>notes</t>
  </si>
  <si>
    <t>Volume [mm3]</t>
  </si>
  <si>
    <t>Mass [g]</t>
  </si>
  <si>
    <t>x_cm [mm]</t>
  </si>
  <si>
    <t>y_cm [mm]</t>
  </si>
  <si>
    <t>z_cm [mm]</t>
  </si>
  <si>
    <t>active [0/1]</t>
  </si>
  <si>
    <t>Disco 1</t>
  </si>
  <si>
    <t>Disco 2</t>
  </si>
  <si>
    <t xml:space="preserve">Reel </t>
  </si>
  <si>
    <t>Slot</t>
  </si>
  <si>
    <t>Piso_sup</t>
  </si>
  <si>
    <t>Piso_inf</t>
  </si>
  <si>
    <t>Carcasa_inf</t>
  </si>
  <si>
    <t>Num</t>
  </si>
  <si>
    <t>Caracasa_sup</t>
  </si>
  <si>
    <t>Camara_vacio</t>
  </si>
  <si>
    <t>Sensor1</t>
  </si>
  <si>
    <t xml:space="preserve">Sensor2 </t>
  </si>
  <si>
    <t>Colita del pez</t>
  </si>
  <si>
    <t>Rodiamiento</t>
  </si>
  <si>
    <t>Tornillo 1</t>
  </si>
  <si>
    <t>Tornillo 2</t>
  </si>
  <si>
    <t>Tornillo 3</t>
  </si>
  <si>
    <t>acero inoxidable</t>
  </si>
  <si>
    <t>Tornillo 4</t>
  </si>
  <si>
    <t>Tornillo 5</t>
  </si>
  <si>
    <t>Tornillo 6</t>
  </si>
  <si>
    <t>Tornillo 7</t>
  </si>
  <si>
    <t>Tornillo 8</t>
  </si>
  <si>
    <t>Tornillo 9</t>
  </si>
  <si>
    <t>Vacio_inf</t>
  </si>
  <si>
    <t>aire</t>
  </si>
  <si>
    <t>Aluminio</t>
  </si>
  <si>
    <t>aleta1</t>
  </si>
  <si>
    <t>aleta2</t>
  </si>
  <si>
    <t>resina</t>
  </si>
  <si>
    <t>bateria</t>
  </si>
  <si>
    <t>bateria2</t>
  </si>
  <si>
    <t>sensor</t>
  </si>
  <si>
    <t>union cola-chasis</t>
  </si>
  <si>
    <t>Aleta_cola</t>
  </si>
  <si>
    <t>PLA</t>
  </si>
  <si>
    <t>silicona</t>
  </si>
  <si>
    <t>Vacio_sup</t>
  </si>
  <si>
    <t>Vacio_int</t>
  </si>
  <si>
    <t>electronica</t>
  </si>
  <si>
    <t>corrector</t>
  </si>
  <si>
    <t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</si>
</sst>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000"/>
    <numFmt numFmtId="178" formatCode="0.00000000000000"/>
  </numFmts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166" fontId="0" fillId="0" borderId="1" xfId="0" applyNumberFormat="1" applyBorder="1"/>
    <xf numFmtId="2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2" fillId="0" borderId="1" xfId="0" applyFont="1" applyBorder="1"/>
    <xf numFmtId="0" fontId="0" fillId="0" borderId="1" xfId="0" quotePrefix="1" applyBorder="1"/>
    <xf numFmtId="0" fontId="0" fillId="0" borderId="1" xfId="0" applyFill="1" applyBorder="1"/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EA2C-CE93-B746-924D-F42153CC1D11}">
  <dimension ref="A1:N39"/>
  <sheetViews>
    <sheetView tabSelected="1" topLeftCell="A12" zoomScale="125" workbookViewId="0">
      <selection activeCell="G36" sqref="G36"/>
    </sheetView>
  </sheetViews>
  <sheetFormatPr baseColWidth="10" defaultRowHeight="16" x14ac:dyDescent="0.2"/>
  <cols>
    <col min="1" max="1" width="5.1640625" customWidth="1"/>
    <col min="2" max="2" width="16.1640625" customWidth="1"/>
    <col min="3" max="3" width="15.83203125" customWidth="1"/>
    <col min="4" max="4" width="22.33203125" customWidth="1"/>
    <col min="5" max="5" width="9.1640625" customWidth="1"/>
    <col min="6" max="6" width="14" customWidth="1"/>
    <col min="8" max="8" width="12.1640625" customWidth="1"/>
    <col min="13" max="13" width="19.1640625" customWidth="1"/>
    <col min="14" max="14" width="21.33203125" customWidth="1"/>
  </cols>
  <sheetData>
    <row r="1" spans="1:14" ht="24" x14ac:dyDescent="0.3">
      <c r="A1" s="5" t="s">
        <v>22</v>
      </c>
      <c r="B1" s="5" t="s">
        <v>0</v>
      </c>
      <c r="C1" s="5" t="s">
        <v>4</v>
      </c>
      <c r="D1" s="5" t="s">
        <v>5</v>
      </c>
      <c r="E1" s="5" t="s">
        <v>10</v>
      </c>
      <c r="F1" s="5" t="s">
        <v>9</v>
      </c>
      <c r="G1" s="5" t="s">
        <v>11</v>
      </c>
      <c r="H1" s="5" t="s">
        <v>12</v>
      </c>
      <c r="I1" s="5" t="s">
        <v>13</v>
      </c>
      <c r="J1" s="5" t="s">
        <v>14</v>
      </c>
      <c r="K1" t="s">
        <v>8</v>
      </c>
      <c r="N1" s="1"/>
    </row>
    <row r="2" spans="1:14" x14ac:dyDescent="0.2">
      <c r="A2" s="5">
        <v>1</v>
      </c>
      <c r="B2" s="5" t="s">
        <v>1</v>
      </c>
      <c r="C2" s="5" t="s">
        <v>6</v>
      </c>
      <c r="D2" s="5" t="s">
        <v>3</v>
      </c>
      <c r="E2" s="7">
        <v>9</v>
      </c>
      <c r="F2" s="8">
        <v>6511.1639999999998</v>
      </c>
      <c r="G2" s="9">
        <v>-4.8929999999999998</v>
      </c>
      <c r="H2" s="10">
        <v>0</v>
      </c>
      <c r="I2" s="9">
        <v>12.287000000000001</v>
      </c>
      <c r="J2" s="5">
        <v>1</v>
      </c>
    </row>
    <row r="3" spans="1:14" x14ac:dyDescent="0.2">
      <c r="A3" s="5">
        <f>A2+1</f>
        <v>2</v>
      </c>
      <c r="B3" s="5" t="s">
        <v>2</v>
      </c>
      <c r="C3" s="5" t="s">
        <v>6</v>
      </c>
      <c r="D3" s="5" t="s">
        <v>3</v>
      </c>
      <c r="E3" s="7">
        <v>9</v>
      </c>
      <c r="F3" s="8">
        <v>6511.1639999999998</v>
      </c>
      <c r="G3" s="9">
        <v>59.052999999999997</v>
      </c>
      <c r="H3" s="10">
        <v>0</v>
      </c>
      <c r="I3" s="9">
        <v>12.287000000000001</v>
      </c>
      <c r="J3" s="5">
        <v>1</v>
      </c>
    </row>
    <row r="4" spans="1:14" x14ac:dyDescent="0.2">
      <c r="A4" s="5">
        <f t="shared" ref="A4:A36" si="0">A3+1</f>
        <v>3</v>
      </c>
      <c r="B4" s="5" t="s">
        <v>15</v>
      </c>
      <c r="C4" s="5" t="s">
        <v>6</v>
      </c>
      <c r="D4" s="5" t="s">
        <v>44</v>
      </c>
      <c r="E4" s="7">
        <v>1.82</v>
      </c>
      <c r="F4" s="9">
        <v>1538.752</v>
      </c>
      <c r="G4" s="9">
        <v>8.3000000000000004E-2</v>
      </c>
      <c r="H4" s="10">
        <v>0</v>
      </c>
      <c r="I4" s="10">
        <v>28</v>
      </c>
      <c r="J4" s="5">
        <v>1</v>
      </c>
    </row>
    <row r="5" spans="1:14" ht="17" x14ac:dyDescent="0.25">
      <c r="A5" s="5">
        <f t="shared" si="0"/>
        <v>4</v>
      </c>
      <c r="B5" s="5" t="s">
        <v>16</v>
      </c>
      <c r="C5" s="5" t="s">
        <v>6</v>
      </c>
      <c r="D5" s="5" t="s">
        <v>44</v>
      </c>
      <c r="E5" s="7">
        <v>1.81</v>
      </c>
      <c r="F5" s="9">
        <v>1538.752</v>
      </c>
      <c r="G5" s="9">
        <v>54.09</v>
      </c>
      <c r="H5" s="10">
        <v>0</v>
      </c>
      <c r="I5" s="10">
        <v>28</v>
      </c>
      <c r="J5" s="5">
        <v>1</v>
      </c>
      <c r="N5" s="2"/>
    </row>
    <row r="6" spans="1:14" ht="17" x14ac:dyDescent="0.25">
      <c r="A6" s="5">
        <f t="shared" si="0"/>
        <v>5</v>
      </c>
      <c r="B6" s="5" t="s">
        <v>17</v>
      </c>
      <c r="C6" s="5" t="s">
        <v>6</v>
      </c>
      <c r="D6" s="5" t="s">
        <v>44</v>
      </c>
      <c r="E6" s="7">
        <v>1.67</v>
      </c>
      <c r="F6" s="9">
        <v>1402.4760000000001</v>
      </c>
      <c r="G6" s="9">
        <v>26.9</v>
      </c>
      <c r="H6" s="10">
        <v>0</v>
      </c>
      <c r="I6" s="9">
        <v>28.004999999999999</v>
      </c>
      <c r="J6" s="5">
        <v>1</v>
      </c>
      <c r="N6" s="2"/>
    </row>
    <row r="7" spans="1:14" ht="17" x14ac:dyDescent="0.25">
      <c r="A7" s="5">
        <f t="shared" si="0"/>
        <v>6</v>
      </c>
      <c r="B7" s="5" t="s">
        <v>18</v>
      </c>
      <c r="C7" s="5" t="s">
        <v>6</v>
      </c>
      <c r="D7" s="5" t="s">
        <v>44</v>
      </c>
      <c r="E7" s="7">
        <v>1.01</v>
      </c>
      <c r="F7" s="9">
        <v>853.52</v>
      </c>
      <c r="G7" s="9">
        <v>27.439</v>
      </c>
      <c r="H7" s="10">
        <v>0</v>
      </c>
      <c r="I7" s="9">
        <v>31.1</v>
      </c>
      <c r="J7" s="5">
        <v>1</v>
      </c>
      <c r="N7" s="2"/>
    </row>
    <row r="8" spans="1:14" x14ac:dyDescent="0.2">
      <c r="A8" s="5">
        <f t="shared" si="0"/>
        <v>7</v>
      </c>
      <c r="B8" s="5" t="s">
        <v>19</v>
      </c>
      <c r="C8" s="5" t="s">
        <v>6</v>
      </c>
      <c r="D8" s="5" t="s">
        <v>44</v>
      </c>
      <c r="E8" s="7">
        <v>10.38</v>
      </c>
      <c r="F8" s="9">
        <v>8210.6200000000008</v>
      </c>
      <c r="G8" s="9">
        <v>21.588000000000001</v>
      </c>
      <c r="H8" s="10">
        <v>0</v>
      </c>
      <c r="I8" s="9">
        <v>14.864000000000001</v>
      </c>
      <c r="J8" s="5">
        <v>1</v>
      </c>
    </row>
    <row r="9" spans="1:14" x14ac:dyDescent="0.2">
      <c r="A9" s="5">
        <f t="shared" si="0"/>
        <v>8</v>
      </c>
      <c r="B9" s="5" t="s">
        <v>20</v>
      </c>
      <c r="C9" s="5" t="s">
        <v>6</v>
      </c>
      <c r="D9" s="5" t="s">
        <v>44</v>
      </c>
      <c r="E9" s="7">
        <v>12.05</v>
      </c>
      <c r="F9" s="9">
        <v>7712.1809999999996</v>
      </c>
      <c r="G9" s="9">
        <v>22.050999999999998</v>
      </c>
      <c r="H9" s="9">
        <v>0</v>
      </c>
      <c r="I9" s="9">
        <v>4.05</v>
      </c>
      <c r="J9" s="5">
        <v>1</v>
      </c>
    </row>
    <row r="10" spans="1:14" ht="17" x14ac:dyDescent="0.25">
      <c r="A10" s="5">
        <f t="shared" si="0"/>
        <v>9</v>
      </c>
      <c r="B10" s="5" t="s">
        <v>21</v>
      </c>
      <c r="C10" s="5" t="s">
        <v>6</v>
      </c>
      <c r="D10" s="5" t="s">
        <v>44</v>
      </c>
      <c r="E10" s="7">
        <v>35.47</v>
      </c>
      <c r="F10" s="9">
        <v>41291.572</v>
      </c>
      <c r="G10" s="9">
        <v>22.739000000000001</v>
      </c>
      <c r="H10" s="10">
        <v>0</v>
      </c>
      <c r="I10" s="9">
        <v>-3.2559999999999998</v>
      </c>
      <c r="J10" s="5">
        <v>1</v>
      </c>
      <c r="N10" s="2"/>
    </row>
    <row r="11" spans="1:14" x14ac:dyDescent="0.2">
      <c r="A11" s="5">
        <f t="shared" si="0"/>
        <v>10</v>
      </c>
      <c r="B11" s="5" t="s">
        <v>23</v>
      </c>
      <c r="C11" s="5" t="s">
        <v>6</v>
      </c>
      <c r="D11" s="5" t="s">
        <v>44</v>
      </c>
      <c r="E11" s="7">
        <v>43.9</v>
      </c>
      <c r="F11" s="9">
        <v>28698.184000000001</v>
      </c>
      <c r="G11" s="9">
        <v>24.126000000000001</v>
      </c>
      <c r="H11" s="10">
        <v>0</v>
      </c>
      <c r="I11" s="9">
        <v>33.567999999999998</v>
      </c>
      <c r="J11" s="5">
        <v>1</v>
      </c>
    </row>
    <row r="12" spans="1:14" x14ac:dyDescent="0.2">
      <c r="A12" s="5">
        <f t="shared" si="0"/>
        <v>11</v>
      </c>
      <c r="B12" s="5" t="s">
        <v>49</v>
      </c>
      <c r="C12" s="5" t="s">
        <v>6</v>
      </c>
      <c r="D12" s="5" t="s">
        <v>50</v>
      </c>
      <c r="E12" s="7">
        <v>2.5</v>
      </c>
      <c r="F12" s="9">
        <v>2876.0439999999999</v>
      </c>
      <c r="G12" s="9">
        <v>-98.067999999999998</v>
      </c>
      <c r="H12" s="10">
        <v>0</v>
      </c>
      <c r="I12" s="9">
        <v>19.548999999999999</v>
      </c>
      <c r="J12" s="5">
        <v>1</v>
      </c>
    </row>
    <row r="13" spans="1:14" x14ac:dyDescent="0.2">
      <c r="A13" s="5">
        <f t="shared" si="0"/>
        <v>12</v>
      </c>
      <c r="B13" s="5" t="s">
        <v>27</v>
      </c>
      <c r="C13" s="5" t="s">
        <v>6</v>
      </c>
      <c r="D13" s="5" t="s">
        <v>51</v>
      </c>
      <c r="E13" s="7">
        <v>33</v>
      </c>
      <c r="F13" s="9">
        <v>12730.831</v>
      </c>
      <c r="G13" s="9">
        <v>-55.427</v>
      </c>
      <c r="H13" s="10">
        <v>0</v>
      </c>
      <c r="I13" s="9">
        <v>21.302</v>
      </c>
      <c r="J13" s="11">
        <v>1</v>
      </c>
    </row>
    <row r="14" spans="1:14" x14ac:dyDescent="0.2">
      <c r="A14" s="5">
        <f t="shared" si="0"/>
        <v>13</v>
      </c>
      <c r="B14" s="5" t="s">
        <v>24</v>
      </c>
      <c r="C14" s="5" t="s">
        <v>6</v>
      </c>
      <c r="D14" s="5" t="s">
        <v>44</v>
      </c>
      <c r="E14" s="7">
        <v>6.74</v>
      </c>
      <c r="F14" s="9">
        <v>5188.6980000000003</v>
      </c>
      <c r="G14" s="9">
        <v>22.574000000000002</v>
      </c>
      <c r="H14" s="10">
        <v>0</v>
      </c>
      <c r="I14" s="9">
        <v>36.988999999999997</v>
      </c>
      <c r="J14" s="5">
        <v>1</v>
      </c>
    </row>
    <row r="15" spans="1:14" x14ac:dyDescent="0.2">
      <c r="A15" s="5">
        <f t="shared" si="0"/>
        <v>14</v>
      </c>
      <c r="B15" s="5" t="s">
        <v>25</v>
      </c>
      <c r="C15" s="5" t="s">
        <v>6</v>
      </c>
      <c r="D15" s="5" t="s">
        <v>44</v>
      </c>
      <c r="E15" s="7">
        <v>0.1</v>
      </c>
      <c r="F15" s="9">
        <v>83.171999999999997</v>
      </c>
      <c r="G15" s="9">
        <v>-17.616</v>
      </c>
      <c r="H15" s="10">
        <v>-7.2709999999999999</v>
      </c>
      <c r="I15" s="9">
        <v>18.667999999999999</v>
      </c>
      <c r="J15" s="5">
        <v>1</v>
      </c>
    </row>
    <row r="16" spans="1:14" x14ac:dyDescent="0.2">
      <c r="A16" s="5">
        <f t="shared" si="0"/>
        <v>15</v>
      </c>
      <c r="B16" s="5" t="s">
        <v>26</v>
      </c>
      <c r="C16" s="5" t="s">
        <v>6</v>
      </c>
      <c r="D16" s="5" t="s">
        <v>44</v>
      </c>
      <c r="E16" s="7">
        <v>0.1</v>
      </c>
      <c r="F16" s="9">
        <v>83.171999999999997</v>
      </c>
      <c r="G16" s="9">
        <v>-17.616</v>
      </c>
      <c r="H16" s="10">
        <v>7.2709999999999999</v>
      </c>
      <c r="I16" s="9">
        <v>18.667999999999999</v>
      </c>
      <c r="J16" s="5">
        <v>1</v>
      </c>
    </row>
    <row r="17" spans="1:10" x14ac:dyDescent="0.2">
      <c r="A17" s="5">
        <f t="shared" si="0"/>
        <v>16</v>
      </c>
      <c r="B17" s="5" t="s">
        <v>28</v>
      </c>
      <c r="C17" s="5" t="s">
        <v>6</v>
      </c>
      <c r="D17" s="5" t="s">
        <v>41</v>
      </c>
      <c r="E17" s="7">
        <f>2.4-E6</f>
        <v>0.73</v>
      </c>
      <c r="F17" s="9">
        <v>460.87200000000001</v>
      </c>
      <c r="G17" s="9">
        <v>27</v>
      </c>
      <c r="H17" s="10">
        <v>0</v>
      </c>
      <c r="I17" s="9">
        <v>21.45</v>
      </c>
      <c r="J17" s="5">
        <v>1</v>
      </c>
    </row>
    <row r="18" spans="1:10" x14ac:dyDescent="0.2">
      <c r="A18" s="5">
        <f t="shared" si="0"/>
        <v>17</v>
      </c>
      <c r="B18" s="5" t="s">
        <v>29</v>
      </c>
      <c r="C18" s="5" t="s">
        <v>6</v>
      </c>
      <c r="D18" s="5" t="s">
        <v>32</v>
      </c>
      <c r="E18" s="7">
        <v>0.34</v>
      </c>
      <c r="F18" s="5">
        <v>42.235999999999997</v>
      </c>
      <c r="G18" s="9">
        <v>-9.952</v>
      </c>
      <c r="H18" s="10">
        <v>0</v>
      </c>
      <c r="I18" s="5">
        <v>30.555</v>
      </c>
      <c r="J18" s="5">
        <v>1</v>
      </c>
    </row>
    <row r="19" spans="1:10" x14ac:dyDescent="0.2">
      <c r="A19" s="5">
        <f t="shared" si="0"/>
        <v>18</v>
      </c>
      <c r="B19" s="5" t="s">
        <v>30</v>
      </c>
      <c r="C19" s="5" t="s">
        <v>6</v>
      </c>
      <c r="D19" s="5" t="s">
        <v>32</v>
      </c>
      <c r="E19" s="7">
        <v>0.34</v>
      </c>
      <c r="F19" s="5">
        <v>42.235999999999997</v>
      </c>
      <c r="G19" s="5">
        <v>38.048000000000002</v>
      </c>
      <c r="H19" s="10">
        <v>0</v>
      </c>
      <c r="I19" s="5">
        <v>30.555</v>
      </c>
      <c r="J19" s="5">
        <v>1</v>
      </c>
    </row>
    <row r="20" spans="1:10" x14ac:dyDescent="0.2">
      <c r="A20" s="5">
        <f t="shared" si="0"/>
        <v>19</v>
      </c>
      <c r="B20" s="5" t="s">
        <v>31</v>
      </c>
      <c r="C20" s="5" t="s">
        <v>6</v>
      </c>
      <c r="D20" s="5" t="s">
        <v>32</v>
      </c>
      <c r="E20" s="7">
        <v>0.34</v>
      </c>
      <c r="F20" s="5">
        <v>42.235999999999997</v>
      </c>
      <c r="G20" s="5">
        <v>64.548000000000002</v>
      </c>
      <c r="H20" s="10">
        <v>0</v>
      </c>
      <c r="I20" s="5">
        <v>30.555</v>
      </c>
      <c r="J20" s="5">
        <v>1</v>
      </c>
    </row>
    <row r="21" spans="1:10" x14ac:dyDescent="0.2">
      <c r="A21" s="5">
        <f t="shared" si="0"/>
        <v>20</v>
      </c>
      <c r="B21" s="5" t="s">
        <v>33</v>
      </c>
      <c r="C21" s="5" t="s">
        <v>6</v>
      </c>
      <c r="D21" s="5" t="s">
        <v>32</v>
      </c>
      <c r="E21" s="7">
        <v>0.34</v>
      </c>
      <c r="F21" s="5">
        <v>42.235999999999997</v>
      </c>
      <c r="G21" s="9">
        <v>16.047999999999998</v>
      </c>
      <c r="H21" s="5">
        <v>-15.971</v>
      </c>
      <c r="I21" s="5">
        <v>14.355</v>
      </c>
      <c r="J21" s="5">
        <v>1</v>
      </c>
    </row>
    <row r="22" spans="1:10" x14ac:dyDescent="0.2">
      <c r="A22" s="5">
        <f t="shared" si="0"/>
        <v>21</v>
      </c>
      <c r="B22" s="5" t="s">
        <v>34</v>
      </c>
      <c r="C22" s="5" t="s">
        <v>6</v>
      </c>
      <c r="D22" s="5" t="s">
        <v>32</v>
      </c>
      <c r="E22" s="7">
        <v>0.34</v>
      </c>
      <c r="F22" s="5">
        <v>42.235999999999997</v>
      </c>
      <c r="G22" s="9">
        <v>16.047999999999998</v>
      </c>
      <c r="H22" s="5">
        <f>H21*-1</f>
        <v>15.971</v>
      </c>
      <c r="I22" s="5">
        <v>14.355</v>
      </c>
      <c r="J22" s="5">
        <v>1</v>
      </c>
    </row>
    <row r="23" spans="1:10" x14ac:dyDescent="0.2">
      <c r="A23" s="5">
        <f t="shared" si="0"/>
        <v>22</v>
      </c>
      <c r="B23" s="5" t="s">
        <v>35</v>
      </c>
      <c r="C23" s="5" t="s">
        <v>6</v>
      </c>
      <c r="D23" s="5" t="s">
        <v>32</v>
      </c>
      <c r="E23" s="7">
        <v>0.34</v>
      </c>
      <c r="F23" s="5">
        <v>42.235999999999997</v>
      </c>
      <c r="G23" s="9">
        <v>-11.952</v>
      </c>
      <c r="H23" s="5">
        <f>H21</f>
        <v>-15.971</v>
      </c>
      <c r="I23" s="5">
        <v>14.355</v>
      </c>
      <c r="J23" s="5">
        <v>1</v>
      </c>
    </row>
    <row r="24" spans="1:10" x14ac:dyDescent="0.2">
      <c r="A24" s="5">
        <f t="shared" si="0"/>
        <v>23</v>
      </c>
      <c r="B24" s="5" t="s">
        <v>36</v>
      </c>
      <c r="C24" s="5" t="s">
        <v>6</v>
      </c>
      <c r="D24" s="5" t="s">
        <v>32</v>
      </c>
      <c r="E24" s="7">
        <v>0.34</v>
      </c>
      <c r="F24" s="5">
        <v>42.235999999999997</v>
      </c>
      <c r="G24" s="9">
        <v>-11.952</v>
      </c>
      <c r="H24" s="5">
        <f>H22</f>
        <v>15.971</v>
      </c>
      <c r="I24" s="5">
        <v>14.355</v>
      </c>
      <c r="J24" s="5">
        <v>1</v>
      </c>
    </row>
    <row r="25" spans="1:10" x14ac:dyDescent="0.2">
      <c r="A25" s="5">
        <f t="shared" si="0"/>
        <v>24</v>
      </c>
      <c r="B25" s="5" t="s">
        <v>37</v>
      </c>
      <c r="C25" s="5" t="s">
        <v>6</v>
      </c>
      <c r="D25" s="5" t="s">
        <v>32</v>
      </c>
      <c r="E25" s="7">
        <v>0.34</v>
      </c>
      <c r="F25" s="5">
        <v>42.235999999999997</v>
      </c>
      <c r="G25" s="9">
        <v>67.048000000000002</v>
      </c>
      <c r="H25" s="5">
        <v>9.9710000000000001</v>
      </c>
      <c r="I25" s="5">
        <v>14.355</v>
      </c>
      <c r="J25" s="5">
        <v>1</v>
      </c>
    </row>
    <row r="26" spans="1:10" x14ac:dyDescent="0.2">
      <c r="A26" s="5">
        <f t="shared" si="0"/>
        <v>25</v>
      </c>
      <c r="B26" s="5" t="s">
        <v>38</v>
      </c>
      <c r="C26" s="5" t="s">
        <v>6</v>
      </c>
      <c r="D26" s="5" t="s">
        <v>32</v>
      </c>
      <c r="E26" s="7">
        <v>0.34</v>
      </c>
      <c r="F26" s="5">
        <v>42.235999999999997</v>
      </c>
      <c r="G26" s="9">
        <v>67.048000000000002</v>
      </c>
      <c r="H26" s="5">
        <f>H25*-1</f>
        <v>-9.9710000000000001</v>
      </c>
      <c r="I26" s="5">
        <v>14.355</v>
      </c>
      <c r="J26" s="5">
        <v>1</v>
      </c>
    </row>
    <row r="27" spans="1:10" ht="17" x14ac:dyDescent="0.25">
      <c r="A27" s="5">
        <f t="shared" si="0"/>
        <v>26</v>
      </c>
      <c r="B27" s="5" t="s">
        <v>39</v>
      </c>
      <c r="C27" s="12" t="s">
        <v>7</v>
      </c>
      <c r="D27" s="5" t="s">
        <v>40</v>
      </c>
      <c r="E27" s="7">
        <v>0</v>
      </c>
      <c r="F27" s="10">
        <v>20150.871999999999</v>
      </c>
      <c r="G27" s="9">
        <v>22.056999999999999</v>
      </c>
      <c r="H27" s="10">
        <v>0</v>
      </c>
      <c r="I27" s="5">
        <v>-3.157</v>
      </c>
      <c r="J27" s="5">
        <v>1</v>
      </c>
    </row>
    <row r="28" spans="1:10" ht="17" x14ac:dyDescent="0.25">
      <c r="A28" s="5">
        <f t="shared" si="0"/>
        <v>27</v>
      </c>
      <c r="B28" s="5" t="s">
        <v>53</v>
      </c>
      <c r="C28" s="12" t="s">
        <v>7</v>
      </c>
      <c r="D28" s="5" t="s">
        <v>40</v>
      </c>
      <c r="E28" s="7">
        <v>0</v>
      </c>
      <c r="F28" s="10">
        <f>F27</f>
        <v>20150.871999999999</v>
      </c>
      <c r="G28" s="9">
        <f>G9</f>
        <v>22.050999999999998</v>
      </c>
      <c r="H28" s="9">
        <f t="shared" ref="H28:I28" si="1">H9</f>
        <v>0</v>
      </c>
      <c r="I28" s="9">
        <f t="shared" si="1"/>
        <v>4.05</v>
      </c>
      <c r="J28" s="5">
        <v>1</v>
      </c>
    </row>
    <row r="29" spans="1:10" ht="17" x14ac:dyDescent="0.25">
      <c r="A29" s="5">
        <f t="shared" si="0"/>
        <v>28</v>
      </c>
      <c r="B29" s="5" t="s">
        <v>52</v>
      </c>
      <c r="C29" s="12" t="s">
        <v>7</v>
      </c>
      <c r="D29" s="5" t="s">
        <v>40</v>
      </c>
      <c r="E29" s="7">
        <v>0</v>
      </c>
      <c r="F29" s="10">
        <v>29508.14</v>
      </c>
      <c r="G29" s="9">
        <v>21.95</v>
      </c>
      <c r="H29" s="9">
        <f t="shared" ref="H29" si="2">H10</f>
        <v>0</v>
      </c>
      <c r="I29" s="10">
        <v>41.860999999999997</v>
      </c>
      <c r="J29" s="5">
        <v>1</v>
      </c>
    </row>
    <row r="30" spans="1:10" ht="17" x14ac:dyDescent="0.25">
      <c r="A30" s="5">
        <f t="shared" si="0"/>
        <v>29</v>
      </c>
      <c r="B30" s="5" t="s">
        <v>54</v>
      </c>
      <c r="C30" s="12" t="s">
        <v>6</v>
      </c>
      <c r="D30" s="5" t="s">
        <v>3</v>
      </c>
      <c r="E30" s="7">
        <v>4</v>
      </c>
      <c r="F30" s="10">
        <f>F7</f>
        <v>853.52</v>
      </c>
      <c r="G30" s="9">
        <f>G9</f>
        <v>22.050999999999998</v>
      </c>
      <c r="H30" s="9">
        <f>H29</f>
        <v>0</v>
      </c>
      <c r="I30" s="10">
        <f t="shared" ref="H30:I30" si="3">I9</f>
        <v>4.05</v>
      </c>
      <c r="J30" s="5">
        <v>1</v>
      </c>
    </row>
    <row r="31" spans="1:10" ht="17" x14ac:dyDescent="0.25">
      <c r="A31" s="5">
        <f t="shared" si="0"/>
        <v>30</v>
      </c>
      <c r="B31" s="5" t="s">
        <v>42</v>
      </c>
      <c r="C31" s="12" t="s">
        <v>6</v>
      </c>
      <c r="D31" s="5" t="s">
        <v>44</v>
      </c>
      <c r="E31" s="7">
        <v>0.9</v>
      </c>
      <c r="F31" s="10">
        <v>753.745</v>
      </c>
      <c r="G31" s="10">
        <v>24.635000000000002</v>
      </c>
      <c r="H31" s="9">
        <v>25.96</v>
      </c>
      <c r="I31" s="10">
        <v>4.8</v>
      </c>
      <c r="J31" s="5">
        <v>1</v>
      </c>
    </row>
    <row r="32" spans="1:10" ht="17" x14ac:dyDescent="0.25">
      <c r="A32" s="5">
        <f t="shared" si="0"/>
        <v>31</v>
      </c>
      <c r="B32" s="5" t="s">
        <v>43</v>
      </c>
      <c r="C32" s="12" t="s">
        <v>6</v>
      </c>
      <c r="D32" s="5" t="s">
        <v>44</v>
      </c>
      <c r="E32" s="7">
        <v>0.9</v>
      </c>
      <c r="F32" s="10">
        <v>753.745</v>
      </c>
      <c r="G32" s="10">
        <v>24.635000000000002</v>
      </c>
      <c r="H32" s="5">
        <f>H31*-1</f>
        <v>-25.96</v>
      </c>
      <c r="I32" s="10">
        <v>4.8</v>
      </c>
      <c r="J32" s="5">
        <v>1</v>
      </c>
    </row>
    <row r="33" spans="1:10" ht="17" x14ac:dyDescent="0.25">
      <c r="A33" s="5">
        <f t="shared" si="0"/>
        <v>32</v>
      </c>
      <c r="B33" s="5" t="s">
        <v>45</v>
      </c>
      <c r="C33" s="12" t="s">
        <v>6</v>
      </c>
      <c r="D33" s="5" t="s">
        <v>3</v>
      </c>
      <c r="E33" s="7">
        <v>6.9</v>
      </c>
      <c r="F33" s="10">
        <v>2432</v>
      </c>
      <c r="G33" s="9">
        <v>22.117999999999999</v>
      </c>
      <c r="H33" s="9">
        <f>H30</f>
        <v>0</v>
      </c>
      <c r="I33" s="10">
        <v>-6</v>
      </c>
      <c r="J33" s="5">
        <v>1</v>
      </c>
    </row>
    <row r="34" spans="1:10" ht="17" x14ac:dyDescent="0.25">
      <c r="A34" s="5">
        <f t="shared" si="0"/>
        <v>33</v>
      </c>
      <c r="B34" s="5" t="s">
        <v>46</v>
      </c>
      <c r="C34" s="12" t="s">
        <v>6</v>
      </c>
      <c r="D34" s="5" t="s">
        <v>3</v>
      </c>
      <c r="E34" s="7">
        <v>6.9</v>
      </c>
      <c r="F34" s="10">
        <v>2432</v>
      </c>
      <c r="G34" s="5">
        <v>27.617999999999999</v>
      </c>
      <c r="H34" s="9">
        <f>H33</f>
        <v>0</v>
      </c>
      <c r="I34" s="10">
        <v>-2</v>
      </c>
      <c r="J34" s="5">
        <v>1</v>
      </c>
    </row>
    <row r="35" spans="1:10" ht="17" x14ac:dyDescent="0.25">
      <c r="A35" s="5">
        <f t="shared" si="0"/>
        <v>34</v>
      </c>
      <c r="B35" s="5" t="s">
        <v>48</v>
      </c>
      <c r="C35" s="12" t="s">
        <v>6</v>
      </c>
      <c r="D35" s="5" t="s">
        <v>44</v>
      </c>
      <c r="E35" s="7">
        <v>3</v>
      </c>
      <c r="F35" s="5">
        <v>3309.5309999999999</v>
      </c>
      <c r="G35" s="13">
        <v>-29.797000000000001</v>
      </c>
      <c r="H35" s="9">
        <f>H34</f>
        <v>0</v>
      </c>
      <c r="I35" s="10">
        <v>23.16</v>
      </c>
      <c r="J35" s="5">
        <v>1</v>
      </c>
    </row>
    <row r="36" spans="1:10" ht="17" x14ac:dyDescent="0.25">
      <c r="A36" s="5">
        <f t="shared" si="0"/>
        <v>35</v>
      </c>
      <c r="B36" s="5" t="s">
        <v>47</v>
      </c>
      <c r="C36" s="12" t="s">
        <v>6</v>
      </c>
      <c r="D36" s="5" t="s">
        <v>3</v>
      </c>
      <c r="E36" s="7">
        <v>6</v>
      </c>
      <c r="F36" s="5">
        <v>2297.29</v>
      </c>
      <c r="G36" s="5">
        <v>52</v>
      </c>
      <c r="H36" s="9">
        <f t="shared" ref="H34:H37" si="4">H33</f>
        <v>0</v>
      </c>
      <c r="I36" s="10">
        <v>-9</v>
      </c>
      <c r="J36" s="5">
        <v>1</v>
      </c>
    </row>
    <row r="37" spans="1:10" ht="17" x14ac:dyDescent="0.25">
      <c r="A37" s="5">
        <v>36</v>
      </c>
      <c r="B37" s="14" t="s">
        <v>55</v>
      </c>
      <c r="C37" s="12" t="s">
        <v>6</v>
      </c>
      <c r="D37" s="14" t="s">
        <v>56</v>
      </c>
      <c r="E37" s="7">
        <v>20</v>
      </c>
      <c r="F37" s="9">
        <f>F4</f>
        <v>1538.752</v>
      </c>
      <c r="G37" s="5">
        <f>58</f>
        <v>58</v>
      </c>
      <c r="H37" s="9">
        <f t="shared" si="4"/>
        <v>0</v>
      </c>
      <c r="I37" s="9">
        <f>-5</f>
        <v>-5</v>
      </c>
      <c r="J37" s="5">
        <v>1</v>
      </c>
    </row>
    <row r="38" spans="1:10" x14ac:dyDescent="0.2">
      <c r="E38" s="4">
        <f>SUM(E2:E37)</f>
        <v>220.94000000000003</v>
      </c>
      <c r="F38" s="3">
        <f>SUM(F2:F37)</f>
        <v>210251.76500000007</v>
      </c>
      <c r="H38" s="15"/>
    </row>
    <row r="39" spans="1:10" x14ac:dyDescent="0.2">
      <c r="E39" s="5"/>
      <c r="F39" s="6">
        <f>E38/F38</f>
        <v>1.0508354115362597E-3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Uribe Quintero</dc:creator>
  <cp:lastModifiedBy>Camila Uribe Quintero</cp:lastModifiedBy>
  <dcterms:created xsi:type="dcterms:W3CDTF">2026-04-12T17:30:33Z</dcterms:created>
  <dcterms:modified xsi:type="dcterms:W3CDTF">2026-06-01T10:45:03Z</dcterms:modified>
</cp:coreProperties>
</file>